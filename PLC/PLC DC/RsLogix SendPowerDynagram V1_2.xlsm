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BCP Group - CUBO\30. Proyectos 2022\5. Houston TX\Bull Test Bench\Drive DC - Software\"/>
    </mc:Choice>
  </mc:AlternateContent>
  <bookViews>
    <workbookView xWindow="0" yWindow="0" windowWidth="19200" windowHeight="6870"/>
  </bookViews>
  <sheets>
    <sheet name="Dyn_1" sheetId="1" r:id="rId1"/>
    <sheet name="ControlDC" sheetId="2" r:id="rId2"/>
  </sheets>
  <externalReferences>
    <externalReference r:id="rId3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2" l="1"/>
  <c r="E14" i="2"/>
  <c r="K6" i="2"/>
  <c r="K7" i="2"/>
  <c r="H8" i="1"/>
  <c r="K9" i="2" l="1"/>
  <c r="K8" i="2"/>
  <c r="H12" i="1" l="1"/>
  <c r="E5" i="1"/>
  <c r="E6" i="1" l="1"/>
</calcChain>
</file>

<file path=xl/sharedStrings.xml><?xml version="1.0" encoding="utf-8"?>
<sst xmlns="http://schemas.openxmlformats.org/spreadsheetml/2006/main" count="22" uniqueCount="22">
  <si>
    <t>Surface Dynagram</t>
  </si>
  <si>
    <t>Samples:</t>
  </si>
  <si>
    <t>SPM</t>
  </si>
  <si>
    <t>Configuración de Simulación</t>
  </si>
  <si>
    <t>CONTROL DE SIMULACIÓN</t>
  </si>
  <si>
    <t>Estatus</t>
  </si>
  <si>
    <t>MinPower</t>
  </si>
  <si>
    <t>MaxPower</t>
  </si>
  <si>
    <t>Power</t>
  </si>
  <si>
    <t>Stroke Detection</t>
  </si>
  <si>
    <t>CONTROL DE MOTOR DC</t>
  </si>
  <si>
    <t>Encender VSD DC</t>
  </si>
  <si>
    <t>Apagar VSD DC</t>
  </si>
  <si>
    <t>RPM Reference</t>
  </si>
  <si>
    <t>DATOS OPERATIVOS VSD-DC</t>
  </si>
  <si>
    <t>Actual Current Limit</t>
  </si>
  <si>
    <t>Output Voltage</t>
  </si>
  <si>
    <t>Output Power</t>
  </si>
  <si>
    <t>Speed Reference</t>
  </si>
  <si>
    <t>Min DC Load (%)</t>
  </si>
  <si>
    <t>Max DC Load (%)</t>
  </si>
  <si>
    <t>VSD DC - Running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</si>
</sst>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\ &quot;RPM&quot;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89999084444715716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/>
    <xf numFmtId="0" fontId="2" fillId="0" borderId="3" xfId="0" applyFont="1" applyBorder="1"/>
    <xf numFmtId="0" fontId="0" fillId="0" borderId="4" xfId="0" applyBorder="1"/>
    <xf numFmtId="0" fontId="2" fillId="0" borderId="5" xfId="0" applyFont="1" applyBorder="1"/>
    <xf numFmtId="0" fontId="0" fillId="0" borderId="6" xfId="0" applyBorder="1"/>
    <xf numFmtId="0" fontId="0" fillId="0" borderId="7" xfId="0" applyBorder="1" applyAlignment="1">
      <alignment horizontal="center" vertical="center"/>
    </xf>
    <xf numFmtId="0" fontId="0" fillId="0" borderId="11" xfId="0" applyBorder="1"/>
    <xf numFmtId="0" fontId="0" fillId="0" borderId="13" xfId="0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0" fontId="4" fillId="5" borderId="9" xfId="0" applyFont="1" applyFill="1" applyBorder="1"/>
    <xf numFmtId="0" fontId="4" fillId="5" borderId="10" xfId="0" applyFont="1" applyFill="1" applyBorder="1"/>
    <xf numFmtId="0" fontId="4" fillId="5" borderId="11" xfId="0" applyFont="1" applyFill="1" applyBorder="1"/>
    <xf numFmtId="0" fontId="4" fillId="5" borderId="12" xfId="0" applyFont="1" applyFill="1" applyBorder="1"/>
    <xf numFmtId="0" fontId="4" fillId="5" borderId="13" xfId="0" applyFont="1" applyFill="1" applyBorder="1"/>
    <xf numFmtId="0" fontId="0" fillId="0" borderId="16" xfId="0" applyBorder="1"/>
    <xf numFmtId="0" fontId="0" fillId="0" borderId="0" xfId="0" applyBorder="1"/>
    <xf numFmtId="0" fontId="0" fillId="0" borderId="17" xfId="0" applyBorder="1"/>
    <xf numFmtId="0" fontId="6" fillId="0" borderId="9" xfId="0" applyFont="1" applyFill="1" applyBorder="1" applyAlignment="1"/>
    <xf numFmtId="0" fontId="6" fillId="0" borderId="10" xfId="0" applyFont="1" applyFill="1" applyBorder="1" applyAlignment="1"/>
    <xf numFmtId="0" fontId="0" fillId="6" borderId="11" xfId="0" applyFill="1" applyBorder="1"/>
    <xf numFmtId="0" fontId="0" fillId="6" borderId="12" xfId="0" applyFill="1" applyBorder="1"/>
    <xf numFmtId="0" fontId="0" fillId="6" borderId="13" xfId="0" applyFill="1" applyBorder="1"/>
    <xf numFmtId="0" fontId="2" fillId="3" borderId="7" xfId="0" applyFont="1" applyFill="1" applyBorder="1" applyAlignment="1">
      <alignment horizontal="center"/>
    </xf>
    <xf numFmtId="0" fontId="0" fillId="0" borderId="7" xfId="0" applyBorder="1"/>
    <xf numFmtId="0" fontId="1" fillId="2" borderId="7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1" fillId="5" borderId="14" xfId="0" applyFont="1" applyFill="1" applyBorder="1" applyAlignment="1">
      <alignment horizontal="center"/>
    </xf>
    <xf numFmtId="0" fontId="1" fillId="5" borderId="15" xfId="0" applyFont="1" applyFill="1" applyBorder="1" applyAlignment="1">
      <alignment horizontal="center"/>
    </xf>
    <xf numFmtId="0" fontId="1" fillId="4" borderId="14" xfId="0" applyFont="1" applyFill="1" applyBorder="1" applyAlignment="1">
      <alignment horizontal="center"/>
    </xf>
    <xf numFmtId="0" fontId="1" fillId="4" borderId="15" xfId="0" applyFont="1" applyFill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12" xfId="0" applyNumberFormat="1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Oil Well Power (KW)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Dyn_1!$A$4</c:f>
              <c:strCache>
                <c:ptCount val="1"/>
                <c:pt idx="0">
                  <c:v>Power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Dyn_1!$A$5:$A$146</c:f>
              <c:numCache>
                <c:formatCode>General</c:formatCode>
                <c:ptCount val="142"/>
                <c:pt idx="0">
                  <c:v>4.5242846836296033</c:v>
                </c:pt>
                <c:pt idx="1">
                  <c:v>3.6992680635682591</c:v>
                </c:pt>
                <c:pt idx="2">
                  <c:v>2.7944113011710265</c:v>
                </c:pt>
                <c:pt idx="3">
                  <c:v>2.3752495188310285</c:v>
                </c:pt>
                <c:pt idx="4">
                  <c:v>2.3020626308936061</c:v>
                </c:pt>
                <c:pt idx="5">
                  <c:v>1.8629408674473513</c:v>
                </c:pt>
                <c:pt idx="6">
                  <c:v>1.3023952500313576</c:v>
                </c:pt>
                <c:pt idx="7">
                  <c:v>0.87658021329289382</c:v>
                </c:pt>
                <c:pt idx="8">
                  <c:v>0.60296065898336215</c:v>
                </c:pt>
                <c:pt idx="9">
                  <c:v>-0.33848965633801148</c:v>
                </c:pt>
                <c:pt idx="10">
                  <c:v>-1.7365268547679027</c:v>
                </c:pt>
                <c:pt idx="11">
                  <c:v>-1.989354662215939</c:v>
                </c:pt>
                <c:pt idx="12">
                  <c:v>-1.4288090447999453</c:v>
                </c:pt>
                <c:pt idx="13">
                  <c:v>-1.205921535877585</c:v>
                </c:pt>
                <c:pt idx="14">
                  <c:v>-1.8562873951380252</c:v>
                </c:pt>
                <c:pt idx="15">
                  <c:v>-2.4950100592011508</c:v>
                </c:pt>
                <c:pt idx="16">
                  <c:v>-2.5748504194478992</c:v>
                </c:pt>
                <c:pt idx="17">
                  <c:v>-2.3353293387076541</c:v>
                </c:pt>
                <c:pt idx="18">
                  <c:v>-2.2821024318764889</c:v>
                </c:pt>
                <c:pt idx="19">
                  <c:v>-2.2554891963717667</c:v>
                </c:pt>
                <c:pt idx="20">
                  <c:v>-1.8829010664644685</c:v>
                </c:pt>
                <c:pt idx="21">
                  <c:v>-1.2724551694165418</c:v>
                </c:pt>
                <c:pt idx="22">
                  <c:v>-0.78925483289244158</c:v>
                </c:pt>
                <c:pt idx="23">
                  <c:v>-0.57717897132301788</c:v>
                </c:pt>
                <c:pt idx="24">
                  <c:v>-0.59713895242927462</c:v>
                </c:pt>
                <c:pt idx="25">
                  <c:v>-0.63206919175379983</c:v>
                </c:pt>
                <c:pt idx="26">
                  <c:v>-0.55056551790743513</c:v>
                </c:pt>
                <c:pt idx="27">
                  <c:v>-0.42997342969293484</c:v>
                </c:pt>
                <c:pt idx="28">
                  <c:v>-0.11747334797636209</c:v>
                </c:pt>
                <c:pt idx="29">
                  <c:v>9.8137027753388714E-2</c:v>
                </c:pt>
                <c:pt idx="30">
                  <c:v>0.18099218475772802</c:v>
                </c:pt>
                <c:pt idx="31">
                  <c:v>0.50066545618636293</c:v>
                </c:pt>
                <c:pt idx="32">
                  <c:v>2.2089155439390669</c:v>
                </c:pt>
                <c:pt idx="33">
                  <c:v>3.8855622374773389</c:v>
                </c:pt>
                <c:pt idx="34">
                  <c:v>3.3799068404921262</c:v>
                </c:pt>
                <c:pt idx="35">
                  <c:v>2.3885562455388198</c:v>
                </c:pt>
                <c:pt idx="36">
                  <c:v>1.9560877364910303</c:v>
                </c:pt>
                <c:pt idx="37">
                  <c:v>3.1536927043705338</c:v>
                </c:pt>
                <c:pt idx="38">
                  <c:v>4.2381901683675185</c:v>
                </c:pt>
                <c:pt idx="39">
                  <c:v>4.0119762501567875</c:v>
                </c:pt>
                <c:pt idx="40">
                  <c:v>3.7325347713823076</c:v>
                </c:pt>
                <c:pt idx="41">
                  <c:v>4.477711467018624</c:v>
                </c:pt>
                <c:pt idx="42">
                  <c:v>5.389221483814322</c:v>
                </c:pt>
                <c:pt idx="43">
                  <c:v>5.2827676701519914</c:v>
                </c:pt>
                <c:pt idx="44">
                  <c:v>4.8835665226508311</c:v>
                </c:pt>
                <c:pt idx="45">
                  <c:v>5.2694611613550597</c:v>
                </c:pt>
                <c:pt idx="46">
                  <c:v>5.9946774400634002</c:v>
                </c:pt>
                <c:pt idx="47">
                  <c:v>6.0745175823992872</c:v>
                </c:pt>
                <c:pt idx="48">
                  <c:v>5.9747172410462825</c:v>
                </c:pt>
                <c:pt idx="49">
                  <c:v>6.5335997627735205</c:v>
                </c:pt>
                <c:pt idx="50">
                  <c:v>7.3586163828348656</c:v>
                </c:pt>
                <c:pt idx="51">
                  <c:v>7.7112443137250448</c:v>
                </c:pt>
                <c:pt idx="52">
                  <c:v>7.4983366864003846</c:v>
                </c:pt>
                <c:pt idx="53">
                  <c:v>7.7844312016624686</c:v>
                </c:pt>
                <c:pt idx="54">
                  <c:v>8.2634729273212368</c:v>
                </c:pt>
                <c:pt idx="55">
                  <c:v>8.6161008582114178</c:v>
                </c:pt>
                <c:pt idx="56">
                  <c:v>8.5628741692911134</c:v>
                </c:pt>
                <c:pt idx="57">
                  <c:v>8.7558222513312387</c:v>
                </c:pt>
                <c:pt idx="58">
                  <c:v>9.2481707036977987</c:v>
                </c:pt>
                <c:pt idx="59">
                  <c:v>9.6340651244911673</c:v>
                </c:pt>
                <c:pt idx="60">
                  <c:v>9.7205589570472402</c:v>
                </c:pt>
                <c:pt idx="61">
                  <c:v>9.7205589570472402</c:v>
                </c:pt>
                <c:pt idx="62">
                  <c:v>9.8336664609297593</c:v>
                </c:pt>
                <c:pt idx="63">
                  <c:v>10</c:v>
                </c:pt>
                <c:pt idx="64">
                  <c:v>9.8935466221593895</c:v>
                </c:pt>
                <c:pt idx="65">
                  <c:v>9.7205589570472402</c:v>
                </c:pt>
                <c:pt idx="66">
                  <c:v>9.713905484737916</c:v>
                </c:pt>
                <c:pt idx="67">
                  <c:v>9.6806392127455894</c:v>
                </c:pt>
                <c:pt idx="68">
                  <c:v>9.4145042427680394</c:v>
                </c:pt>
                <c:pt idx="69">
                  <c:v>9.1616768711417258</c:v>
                </c:pt>
                <c:pt idx="70">
                  <c:v>9.1616768711417258</c:v>
                </c:pt>
                <c:pt idx="71">
                  <c:v>9.0618760939669976</c:v>
                </c:pt>
                <c:pt idx="72">
                  <c:v>8.5761811139097635</c:v>
                </c:pt>
                <c:pt idx="73">
                  <c:v>8.190285821472953</c:v>
                </c:pt>
                <c:pt idx="74">
                  <c:v>8.0971393882509943</c:v>
                </c:pt>
                <c:pt idx="75">
                  <c:v>7.837657890582773</c:v>
                </c:pt>
                <c:pt idx="76">
                  <c:v>7.3320024935975603</c:v>
                </c:pt>
                <c:pt idx="77">
                  <c:v>6.91949440147775</c:v>
                </c:pt>
                <c:pt idx="78">
                  <c:v>6.6932800474452963</c:v>
                </c:pt>
                <c:pt idx="79">
                  <c:v>6.2674650107068324</c:v>
                </c:pt>
                <c:pt idx="80">
                  <c:v>5.6753162169872668</c:v>
                </c:pt>
                <c:pt idx="81">
                  <c:v>5.169661037912916</c:v>
                </c:pt>
                <c:pt idx="82">
                  <c:v>4.8103794168025482</c:v>
                </c:pt>
                <c:pt idx="83">
                  <c:v>4.4045243611703411</c:v>
                </c:pt>
                <c:pt idx="84">
                  <c:v>3.9188289452913865</c:v>
                </c:pt>
                <c:pt idx="85">
                  <c:v>3.2601463001220039</c:v>
                </c:pt>
                <c:pt idx="86">
                  <c:v>2.7145707230134177</c:v>
                </c:pt>
                <c:pt idx="87">
                  <c:v>2.2554891963717667</c:v>
                </c:pt>
                <c:pt idx="88">
                  <c:v>1.8030604883068597</c:v>
                </c:pt>
                <c:pt idx="89">
                  <c:v>1.3181970560940035</c:v>
                </c:pt>
                <c:pt idx="90">
                  <c:v>0.95642057353964205</c:v>
                </c:pt>
                <c:pt idx="91">
                  <c:v>0.72022611999862973</c:v>
                </c:pt>
                <c:pt idx="92">
                  <c:v>0.50731871058482825</c:v>
                </c:pt>
                <c:pt idx="93">
                  <c:v>-0.14678976770789415</c:v>
                </c:pt>
                <c:pt idx="94">
                  <c:v>-2.1091152025860618</c:v>
                </c:pt>
                <c:pt idx="95">
                  <c:v>-3.3399868782796127</c:v>
                </c:pt>
                <c:pt idx="96">
                  <c:v>-3.2468397913250735</c:v>
                </c:pt>
                <c:pt idx="97">
                  <c:v>-3.0139721828941544</c:v>
                </c:pt>
                <c:pt idx="98">
                  <c:v>-3.7924153684336592</c:v>
                </c:pt>
                <c:pt idx="99">
                  <c:v>-5.0565537519412587</c:v>
                </c:pt>
                <c:pt idx="100">
                  <c:v>-5.5688626212357963</c:v>
                </c:pt>
                <c:pt idx="101">
                  <c:v>-5.4823687886797217</c:v>
                </c:pt>
                <c:pt idx="102">
                  <c:v>-5.7884230671372032</c:v>
                </c:pt>
                <c:pt idx="103">
                  <c:v>-6.6001331784016166</c:v>
                </c:pt>
                <c:pt idx="104">
                  <c:v>-7.0991355388992252</c:v>
                </c:pt>
                <c:pt idx="105">
                  <c:v>-7.0725218675727808</c:v>
                </c:pt>
                <c:pt idx="106">
                  <c:v>-7.0192951786524755</c:v>
                </c:pt>
                <c:pt idx="107">
                  <c:v>-7.1723226447475064</c:v>
                </c:pt>
                <c:pt idx="108">
                  <c:v>-7.0924820665898975</c:v>
                </c:pt>
                <c:pt idx="109">
                  <c:v>-6.2208915761849921</c:v>
                </c:pt>
                <c:pt idx="110">
                  <c:v>-5.1430471486756115</c:v>
                </c:pt>
                <c:pt idx="111">
                  <c:v>-4.2914172931095456</c:v>
                </c:pt>
                <c:pt idx="112">
                  <c:v>-3.4464404740310837</c:v>
                </c:pt>
                <c:pt idx="113">
                  <c:v>-2.1290751836923185</c:v>
                </c:pt>
                <c:pt idx="114">
                  <c:v>-1.0703591894448163</c:v>
                </c:pt>
                <c:pt idx="115">
                  <c:v>1.7631403081834855</c:v>
                </c:pt>
                <c:pt idx="116">
                  <c:v>6.5934797060922907</c:v>
                </c:pt>
                <c:pt idx="117">
                  <c:v>8.243513382036701</c:v>
                </c:pt>
                <c:pt idx="118">
                  <c:v>6.6799735386483654</c:v>
                </c:pt>
                <c:pt idx="119">
                  <c:v>5.9680637687369558</c:v>
                </c:pt>
                <c:pt idx="120">
                  <c:v>7.6047909358844361</c:v>
                </c:pt>
                <c:pt idx="121">
                  <c:v>8.3832339035130801</c:v>
                </c:pt>
                <c:pt idx="122">
                  <c:v>6.9527611092917976</c:v>
                </c:pt>
                <c:pt idx="123">
                  <c:v>5.7684630860309456</c:v>
                </c:pt>
                <c:pt idx="124">
                  <c:v>6.5735199428968949</c:v>
                </c:pt>
                <c:pt idx="125">
                  <c:v>7.4584169420987312</c:v>
                </c:pt>
                <c:pt idx="126">
                  <c:v>6.7598136809842524</c:v>
                </c:pt>
                <c:pt idx="127">
                  <c:v>5.449101862954814</c:v>
                </c:pt>
                <c:pt idx="128">
                  <c:v>5.4757153163703967</c:v>
                </c:pt>
                <c:pt idx="129">
                  <c:v>6.1011312537257307</c:v>
                </c:pt>
                <c:pt idx="130">
                  <c:v>5.7618098316324806</c:v>
                </c:pt>
                <c:pt idx="131">
                  <c:v>4.6240854608043298</c:v>
                </c:pt>
                <c:pt idx="132">
                  <c:v>4.7704592366791738</c:v>
                </c:pt>
                <c:pt idx="133">
                  <c:v>5.9614107322493508</c:v>
                </c:pt>
                <c:pt idx="134">
                  <c:v>6.3206921354488586</c:v>
                </c:pt>
                <c:pt idx="135">
                  <c:v>5.6353960368638925</c:v>
                </c:pt>
                <c:pt idx="136">
                  <c:v>5.2694611613550597</c:v>
                </c:pt>
                <c:pt idx="137">
                  <c:v>5.9281440244353032</c:v>
                </c:pt>
                <c:pt idx="138">
                  <c:v>6.081171054708614</c:v>
                </c:pt>
                <c:pt idx="139">
                  <c:v>5.1297406398786816</c:v>
                </c:pt>
                <c:pt idx="140">
                  <c:v>4.3313374732329191</c:v>
                </c:pt>
                <c:pt idx="141">
                  <c:v>4.4444445412937164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8791632"/>
        <c:axId val="1348791088"/>
      </c:scatterChart>
      <c:valAx>
        <c:axId val="134879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8791088"/>
        <c:crosses val="autoZero"/>
        <c:crossBetween val="midCat"/>
      </c:valAx>
      <c:valAx>
        <c:axId val="134879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879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63500</xdr:rowOff>
        </xdr:from>
        <xdr:to>
          <xdr:col>5</xdr:col>
          <xdr:colOff>6350</xdr:colOff>
          <xdr:row>13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Dynagram to PLC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7</xdr:col>
          <xdr:colOff>323850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3</xdr:row>
          <xdr:rowOff>165100</xdr:rowOff>
        </xdr:from>
        <xdr:to>
          <xdr:col>8</xdr:col>
          <xdr:colOff>749300</xdr:colOff>
          <xdr:row>5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OFF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60325</xdr:colOff>
      <xdr:row>8</xdr:row>
      <xdr:rowOff>44450</xdr:rowOff>
    </xdr:from>
    <xdr:to>
      <xdr:col>11</xdr:col>
      <xdr:colOff>635000</xdr:colOff>
      <xdr:row>19</xdr:row>
      <xdr:rowOff>158750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5</xdr:row>
          <xdr:rowOff>19050</xdr:rowOff>
        </xdr:from>
        <xdr:to>
          <xdr:col>5</xdr:col>
          <xdr:colOff>736600</xdr:colOff>
          <xdr:row>6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8</xdr:row>
          <xdr:rowOff>31750</xdr:rowOff>
        </xdr:from>
        <xdr:to>
          <xdr:col>5</xdr:col>
          <xdr:colOff>749300</xdr:colOff>
          <xdr:row>9</xdr:row>
          <xdr:rowOff>165100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OFF</a:t>
              </a:r>
            </a:p>
          </xdr:txBody>
        </xdr:sp>
        <xdr:clientData fPrintsWithSheet="0"/>
      </xdr:twoCellAnchor>
    </mc:Choice>
    <mc:Fallback/>
  </mc:AlternateContent>
</xdr:wsDr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Bull_TestBench">
    <ddeItems>
      <ddeItem name="DC_LoadSent,L1,C1" advise="1">
        <values>
          <value t="e">
            <val>#N/A</val>
          </value>
        </values>
      </ddeItem>
      <ddeItem name="DC_OutputPower,L1,C1" advise="1">
        <values>
          <value t="e">
            <val>#N/A</val>
          </value>
        </values>
      </ddeItem>
      <ddeItem name="DC_OutputVoltage,L1,C1" advise="1">
        <values>
          <value t="e">
            <val>#N/A</val>
          </value>
        </values>
      </ddeItem>
      <ddeItem name="DC_RPMFeedback,L1,C1" advise="1">
        <values>
          <value t="e">
            <val>#N/A</val>
          </value>
        </values>
      </ddeItem>
      <ddeItem name="DC_RPMReference,L1,C1" advise="1">
        <values>
          <value t="e">
            <val>#N/A</val>
          </value>
        </values>
      </ddeItem>
      <ddeItem name="SRP_Simulation,L1,C1" advise="1">
        <values>
          <value t="e">
            <val>#N/A</val>
          </value>
        </values>
      </ddeItem>
      <ddeItem name="StdDocumentName" ole="1" advise="1"/>
      <ddeItem name="VSD_DC:I.DriveStatus_Active,L1,C1" advise="1">
        <values>
          <value t="e">
            <val>#N/A</val>
          </value>
        </values>
      </ddeItem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I146"/>
  <sheetViews>
    <sheetView tabSelected="1" workbookViewId="0">
      <selection activeCell="K2" sqref="K2"/>
    </sheetView>
  </sheetViews>
  <sheetFormatPr baseColWidth="10" defaultRowHeight="14.5" x14ac:dyDescent="0.35"/>
  <cols>
    <col min="1" max="1" width="14.1796875" customWidth="1"/>
    <col min="2" max="2" width="17.54296875" customWidth="1"/>
    <col min="4" max="4" width="16.81640625" customWidth="1"/>
    <col min="5" max="5" width="14.90625" customWidth="1"/>
    <col min="7" max="7" width="10.26953125" customWidth="1"/>
    <col min="8" max="8" width="10.90625" customWidth="1"/>
  </cols>
  <sheetData>
    <row r="2" spans="1:9" ht="15" thickBot="1" x14ac:dyDescent="0.4"/>
    <row r="3" spans="1:9" x14ac:dyDescent="0.35">
      <c r="A3" s="29" t="s">
        <v>0</v>
      </c>
      <c r="B3" s="29"/>
      <c r="D3" s="30" t="s">
        <v>3</v>
      </c>
      <c r="E3" s="31"/>
      <c r="G3" s="32" t="s">
        <v>4</v>
      </c>
      <c r="H3" s="32"/>
      <c r="I3" s="32"/>
    </row>
    <row r="4" spans="1:9" x14ac:dyDescent="0.35">
      <c r="A4" s="27" t="s">
        <v>8</v>
      </c>
      <c r="B4" s="27" t="s">
        <v>9</v>
      </c>
      <c r="D4" s="2" t="s">
        <v>1</v>
      </c>
      <c r="E4" s="3">
        <v>142</v>
      </c>
    </row>
    <row r="5" spans="1:9" x14ac:dyDescent="0.35">
      <c r="A5" s="6">
        <v>4.5242846836296033</v>
      </c>
      <c r="B5" s="28">
        <v>1</v>
      </c>
      <c r="D5" s="2" t="s">
        <v>6</v>
      </c>
      <c r="E5" s="3">
        <f>MIN(A5:A146)</f>
        <v>-7.1723226447475064</v>
      </c>
      <c r="H5">
        <v>1</v>
      </c>
    </row>
    <row r="6" spans="1:9" x14ac:dyDescent="0.35">
      <c r="A6" s="6">
        <v>3.6992680635682591</v>
      </c>
      <c r="B6" s="28">
        <v>1</v>
      </c>
      <c r="D6" s="2" t="s">
        <v>7</v>
      </c>
      <c r="E6" s="3">
        <f>MAX(A5:A285)</f>
        <v>10</v>
      </c>
      <c r="H6">
        <v>0</v>
      </c>
    </row>
    <row r="7" spans="1:9" x14ac:dyDescent="0.35">
      <c r="A7" s="6">
        <v>2.7944113011710265</v>
      </c>
      <c r="B7" s="28">
        <v>1</v>
      </c>
      <c r="D7" s="2" t="s">
        <v>19</v>
      </c>
      <c r="E7" s="3">
        <v>3</v>
      </c>
    </row>
    <row r="8" spans="1:9" x14ac:dyDescent="0.35">
      <c r="A8" s="6">
        <v>2.3752495188310285</v>
      </c>
      <c r="B8" s="28">
        <v>1</v>
      </c>
      <c r="D8" s="2" t="s">
        <v>20</v>
      </c>
      <c r="E8" s="3">
        <v>15</v>
      </c>
      <c r="G8" t="s">
        <v>5</v>
      </c>
      <c r="H8" s="1" t="e">
        <f>[1]!'SRP_Simulation,L1,C1'</f>
        <v>#N/A</v>
      </c>
      <c r="I8" s="1"/>
    </row>
    <row r="9" spans="1:9" ht="15" thickBot="1" x14ac:dyDescent="0.4">
      <c r="A9" s="6">
        <v>2.3020626308936061</v>
      </c>
      <c r="B9" s="28">
        <v>1</v>
      </c>
      <c r="D9" s="4" t="s">
        <v>2</v>
      </c>
      <c r="E9" s="5">
        <v>8.51</v>
      </c>
    </row>
    <row r="10" spans="1:9" x14ac:dyDescent="0.35">
      <c r="A10" s="6">
        <v>1.8629408674473513</v>
      </c>
      <c r="B10" s="28">
        <v>1</v>
      </c>
      <c r="D10" s="1"/>
      <c r="E10" s="1"/>
      <c r="H10" s="1"/>
    </row>
    <row r="11" spans="1:9" x14ac:dyDescent="0.35">
      <c r="A11" s="6">
        <v>1.3023952500313576</v>
      </c>
      <c r="B11" s="28">
        <v>1</v>
      </c>
    </row>
    <row r="12" spans="1:9" x14ac:dyDescent="0.35">
      <c r="A12" s="6">
        <v>0.87658021329289382</v>
      </c>
      <c r="B12" s="28">
        <v>0</v>
      </c>
      <c r="H12">
        <f>60/7.05</f>
        <v>8.5106382978723403</v>
      </c>
    </row>
    <row r="13" spans="1:9" x14ac:dyDescent="0.35">
      <c r="A13" s="6">
        <v>0.60296065898336215</v>
      </c>
      <c r="B13" s="28">
        <v>0</v>
      </c>
    </row>
    <row r="14" spans="1:9" x14ac:dyDescent="0.35">
      <c r="A14" s="6">
        <v>-0.33848965633801148</v>
      </c>
      <c r="B14" s="28">
        <v>0</v>
      </c>
    </row>
    <row r="15" spans="1:9" x14ac:dyDescent="0.35">
      <c r="A15" s="6">
        <v>-1.7365268547679027</v>
      </c>
      <c r="B15" s="28">
        <v>0</v>
      </c>
    </row>
    <row r="16" spans="1:9" x14ac:dyDescent="0.35">
      <c r="A16" s="6">
        <v>-1.989354662215939</v>
      </c>
      <c r="B16" s="28">
        <v>0</v>
      </c>
    </row>
    <row r="17" spans="1:2" x14ac:dyDescent="0.35">
      <c r="A17" s="6">
        <v>-1.4288090447999453</v>
      </c>
      <c r="B17" s="28">
        <v>0</v>
      </c>
    </row>
    <row r="18" spans="1:2" x14ac:dyDescent="0.35">
      <c r="A18" s="6">
        <v>-1.205921535877585</v>
      </c>
      <c r="B18" s="28">
        <v>0</v>
      </c>
    </row>
    <row r="19" spans="1:2" x14ac:dyDescent="0.35">
      <c r="A19" s="6">
        <v>-1.8562873951380252</v>
      </c>
      <c r="B19" s="28">
        <v>0</v>
      </c>
    </row>
    <row r="20" spans="1:2" x14ac:dyDescent="0.35">
      <c r="A20" s="6">
        <v>-2.4950100592011508</v>
      </c>
      <c r="B20" s="28">
        <v>0</v>
      </c>
    </row>
    <row r="21" spans="1:2" x14ac:dyDescent="0.35">
      <c r="A21" s="6">
        <v>-2.5748504194478992</v>
      </c>
      <c r="B21" s="28">
        <v>0</v>
      </c>
    </row>
    <row r="22" spans="1:2" x14ac:dyDescent="0.35">
      <c r="A22" s="6">
        <v>-2.3353293387076541</v>
      </c>
      <c r="B22" s="28">
        <v>0</v>
      </c>
    </row>
    <row r="23" spans="1:2" x14ac:dyDescent="0.35">
      <c r="A23" s="6">
        <v>-2.2821024318764889</v>
      </c>
      <c r="B23" s="28">
        <v>0</v>
      </c>
    </row>
    <row r="24" spans="1:2" x14ac:dyDescent="0.35">
      <c r="A24" s="6">
        <v>-2.2554891963717667</v>
      </c>
      <c r="B24" s="28">
        <v>0</v>
      </c>
    </row>
    <row r="25" spans="1:2" x14ac:dyDescent="0.35">
      <c r="A25" s="6">
        <v>-1.8829010664644685</v>
      </c>
      <c r="B25" s="28">
        <v>0</v>
      </c>
    </row>
    <row r="26" spans="1:2" x14ac:dyDescent="0.35">
      <c r="A26" s="6">
        <v>-1.2724551694165418</v>
      </c>
      <c r="B26" s="28">
        <v>0</v>
      </c>
    </row>
    <row r="27" spans="1:2" x14ac:dyDescent="0.35">
      <c r="A27" s="6">
        <v>-0.78925483289244158</v>
      </c>
      <c r="B27" s="28">
        <v>0</v>
      </c>
    </row>
    <row r="28" spans="1:2" x14ac:dyDescent="0.35">
      <c r="A28" s="6">
        <v>-0.57717897132301788</v>
      </c>
      <c r="B28" s="28">
        <v>0</v>
      </c>
    </row>
    <row r="29" spans="1:2" x14ac:dyDescent="0.35">
      <c r="A29" s="6">
        <v>-0.59713895242927462</v>
      </c>
      <c r="B29" s="28">
        <v>0</v>
      </c>
    </row>
    <row r="30" spans="1:2" x14ac:dyDescent="0.35">
      <c r="A30" s="6">
        <v>-0.63206919175379983</v>
      </c>
      <c r="B30" s="28">
        <v>0</v>
      </c>
    </row>
    <row r="31" spans="1:2" x14ac:dyDescent="0.35">
      <c r="A31" s="6">
        <v>-0.55056551790743513</v>
      </c>
      <c r="B31" s="28">
        <v>0</v>
      </c>
    </row>
    <row r="32" spans="1:2" x14ac:dyDescent="0.35">
      <c r="A32" s="6">
        <v>-0.42997342969293484</v>
      </c>
      <c r="B32" s="28">
        <v>0</v>
      </c>
    </row>
    <row r="33" spans="1:2" x14ac:dyDescent="0.35">
      <c r="A33" s="6">
        <v>-0.11747334797636209</v>
      </c>
      <c r="B33" s="28">
        <v>0</v>
      </c>
    </row>
    <row r="34" spans="1:2" x14ac:dyDescent="0.35">
      <c r="A34" s="6">
        <v>9.8137027753388714E-2</v>
      </c>
      <c r="B34" s="28">
        <v>0</v>
      </c>
    </row>
    <row r="35" spans="1:2" x14ac:dyDescent="0.35">
      <c r="A35" s="6">
        <v>0.18099218475772802</v>
      </c>
      <c r="B35" s="28">
        <v>0</v>
      </c>
    </row>
    <row r="36" spans="1:2" x14ac:dyDescent="0.35">
      <c r="A36" s="6">
        <v>0.50066545618636293</v>
      </c>
      <c r="B36" s="28">
        <v>0</v>
      </c>
    </row>
    <row r="37" spans="1:2" x14ac:dyDescent="0.35">
      <c r="A37" s="6">
        <v>2.2089155439390669</v>
      </c>
      <c r="B37" s="28">
        <v>0</v>
      </c>
    </row>
    <row r="38" spans="1:2" x14ac:dyDescent="0.35">
      <c r="A38" s="6">
        <v>3.8855622374773389</v>
      </c>
      <c r="B38" s="28">
        <v>0</v>
      </c>
    </row>
    <row r="39" spans="1:2" x14ac:dyDescent="0.35">
      <c r="A39" s="6">
        <v>3.3799068404921262</v>
      </c>
      <c r="B39" s="28">
        <v>0</v>
      </c>
    </row>
    <row r="40" spans="1:2" x14ac:dyDescent="0.35">
      <c r="A40" s="6">
        <v>2.3885562455388198</v>
      </c>
      <c r="B40" s="28">
        <v>0</v>
      </c>
    </row>
    <row r="41" spans="1:2" x14ac:dyDescent="0.35">
      <c r="A41" s="6">
        <v>1.9560877364910303</v>
      </c>
      <c r="B41" s="28">
        <v>0</v>
      </c>
    </row>
    <row r="42" spans="1:2" x14ac:dyDescent="0.35">
      <c r="A42" s="6">
        <v>3.1536927043705338</v>
      </c>
      <c r="B42" s="28">
        <v>0</v>
      </c>
    </row>
    <row r="43" spans="1:2" x14ac:dyDescent="0.35">
      <c r="A43" s="6">
        <v>4.2381901683675185</v>
      </c>
      <c r="B43" s="28">
        <v>0</v>
      </c>
    </row>
    <row r="44" spans="1:2" x14ac:dyDescent="0.35">
      <c r="A44" s="6">
        <v>4.0119762501567875</v>
      </c>
      <c r="B44" s="28">
        <v>0</v>
      </c>
    </row>
    <row r="45" spans="1:2" x14ac:dyDescent="0.35">
      <c r="A45" s="6">
        <v>3.7325347713823076</v>
      </c>
      <c r="B45" s="28">
        <v>0</v>
      </c>
    </row>
    <row r="46" spans="1:2" x14ac:dyDescent="0.35">
      <c r="A46" s="6">
        <v>4.477711467018624</v>
      </c>
      <c r="B46" s="28">
        <v>0</v>
      </c>
    </row>
    <row r="47" spans="1:2" x14ac:dyDescent="0.35">
      <c r="A47" s="6">
        <v>5.389221483814322</v>
      </c>
      <c r="B47" s="28">
        <v>0</v>
      </c>
    </row>
    <row r="48" spans="1:2" x14ac:dyDescent="0.35">
      <c r="A48" s="6">
        <v>5.2827676701519914</v>
      </c>
      <c r="B48" s="28">
        <v>0</v>
      </c>
    </row>
    <row r="49" spans="1:2" x14ac:dyDescent="0.35">
      <c r="A49" s="6">
        <v>4.8835665226508311</v>
      </c>
      <c r="B49" s="28">
        <v>0</v>
      </c>
    </row>
    <row r="50" spans="1:2" x14ac:dyDescent="0.35">
      <c r="A50" s="6">
        <v>5.2694611613550597</v>
      </c>
      <c r="B50" s="28">
        <v>0</v>
      </c>
    </row>
    <row r="51" spans="1:2" x14ac:dyDescent="0.35">
      <c r="A51" s="6">
        <v>5.9946774400634002</v>
      </c>
      <c r="B51" s="28">
        <v>0</v>
      </c>
    </row>
    <row r="52" spans="1:2" x14ac:dyDescent="0.35">
      <c r="A52" s="6">
        <v>6.0745175823992872</v>
      </c>
      <c r="B52" s="28">
        <v>0</v>
      </c>
    </row>
    <row r="53" spans="1:2" x14ac:dyDescent="0.35">
      <c r="A53" s="6">
        <v>5.9747172410462825</v>
      </c>
      <c r="B53" s="28">
        <v>0</v>
      </c>
    </row>
    <row r="54" spans="1:2" x14ac:dyDescent="0.35">
      <c r="A54" s="6">
        <v>6.5335997627735205</v>
      </c>
      <c r="B54" s="28">
        <v>0</v>
      </c>
    </row>
    <row r="55" spans="1:2" x14ac:dyDescent="0.35">
      <c r="A55" s="6">
        <v>7.3586163828348656</v>
      </c>
      <c r="B55" s="28">
        <v>0</v>
      </c>
    </row>
    <row r="56" spans="1:2" x14ac:dyDescent="0.35">
      <c r="A56" s="6">
        <v>7.7112443137250448</v>
      </c>
      <c r="B56" s="28">
        <v>0</v>
      </c>
    </row>
    <row r="57" spans="1:2" x14ac:dyDescent="0.35">
      <c r="A57" s="6">
        <v>7.4983366864003846</v>
      </c>
      <c r="B57" s="28">
        <v>0</v>
      </c>
    </row>
    <row r="58" spans="1:2" x14ac:dyDescent="0.35">
      <c r="A58" s="6">
        <v>7.7844312016624686</v>
      </c>
      <c r="B58" s="28">
        <v>0</v>
      </c>
    </row>
    <row r="59" spans="1:2" x14ac:dyDescent="0.35">
      <c r="A59" s="6">
        <v>8.2634729273212368</v>
      </c>
      <c r="B59" s="28">
        <v>0</v>
      </c>
    </row>
    <row r="60" spans="1:2" x14ac:dyDescent="0.35">
      <c r="A60" s="6">
        <v>8.6161008582114178</v>
      </c>
      <c r="B60" s="28">
        <v>0</v>
      </c>
    </row>
    <row r="61" spans="1:2" x14ac:dyDescent="0.35">
      <c r="A61" s="6">
        <v>8.5628741692911134</v>
      </c>
      <c r="B61" s="28">
        <v>0</v>
      </c>
    </row>
    <row r="62" spans="1:2" x14ac:dyDescent="0.35">
      <c r="A62" s="6">
        <v>8.7558222513312387</v>
      </c>
      <c r="B62" s="28">
        <v>0</v>
      </c>
    </row>
    <row r="63" spans="1:2" x14ac:dyDescent="0.35">
      <c r="A63" s="6">
        <v>9.2481707036977987</v>
      </c>
      <c r="B63" s="28">
        <v>0</v>
      </c>
    </row>
    <row r="64" spans="1:2" x14ac:dyDescent="0.35">
      <c r="A64" s="6">
        <v>9.6340651244911673</v>
      </c>
      <c r="B64" s="28">
        <v>0</v>
      </c>
    </row>
    <row r="65" spans="1:2" x14ac:dyDescent="0.35">
      <c r="A65" s="6">
        <v>9.7205589570472402</v>
      </c>
      <c r="B65" s="28">
        <v>0</v>
      </c>
    </row>
    <row r="66" spans="1:2" x14ac:dyDescent="0.35">
      <c r="A66" s="6">
        <v>9.7205589570472402</v>
      </c>
      <c r="B66" s="28">
        <v>0</v>
      </c>
    </row>
    <row r="67" spans="1:2" x14ac:dyDescent="0.35">
      <c r="A67" s="6">
        <v>9.8336664609297593</v>
      </c>
      <c r="B67" s="28">
        <v>0</v>
      </c>
    </row>
    <row r="68" spans="1:2" x14ac:dyDescent="0.35">
      <c r="A68" s="6">
        <v>10</v>
      </c>
      <c r="B68" s="28">
        <v>0</v>
      </c>
    </row>
    <row r="69" spans="1:2" x14ac:dyDescent="0.35">
      <c r="A69" s="6">
        <v>9.8935466221593895</v>
      </c>
      <c r="B69" s="28">
        <v>0</v>
      </c>
    </row>
    <row r="70" spans="1:2" x14ac:dyDescent="0.35">
      <c r="A70" s="6">
        <v>9.7205589570472402</v>
      </c>
      <c r="B70" s="28">
        <v>0</v>
      </c>
    </row>
    <row r="71" spans="1:2" x14ac:dyDescent="0.35">
      <c r="A71" s="6">
        <v>9.713905484737916</v>
      </c>
      <c r="B71" s="28">
        <v>0</v>
      </c>
    </row>
    <row r="72" spans="1:2" x14ac:dyDescent="0.35">
      <c r="A72" s="6">
        <v>9.6806392127455894</v>
      </c>
      <c r="B72" s="28">
        <v>0</v>
      </c>
    </row>
    <row r="73" spans="1:2" x14ac:dyDescent="0.35">
      <c r="A73" s="6">
        <v>9.4145042427680394</v>
      </c>
      <c r="B73" s="28">
        <v>0</v>
      </c>
    </row>
    <row r="74" spans="1:2" x14ac:dyDescent="0.35">
      <c r="A74" s="6">
        <v>9.1616768711417258</v>
      </c>
      <c r="B74" s="28">
        <v>0</v>
      </c>
    </row>
    <row r="75" spans="1:2" x14ac:dyDescent="0.35">
      <c r="A75" s="6">
        <v>9.1616768711417258</v>
      </c>
      <c r="B75" s="28">
        <v>0</v>
      </c>
    </row>
    <row r="76" spans="1:2" x14ac:dyDescent="0.35">
      <c r="A76" s="6">
        <v>9.0618760939669976</v>
      </c>
      <c r="B76" s="28">
        <v>0</v>
      </c>
    </row>
    <row r="77" spans="1:2" x14ac:dyDescent="0.35">
      <c r="A77" s="6">
        <v>8.5761811139097635</v>
      </c>
      <c r="B77" s="28">
        <v>0</v>
      </c>
    </row>
    <row r="78" spans="1:2" x14ac:dyDescent="0.35">
      <c r="A78" s="6">
        <v>8.190285821472953</v>
      </c>
      <c r="B78" s="28">
        <v>0</v>
      </c>
    </row>
    <row r="79" spans="1:2" x14ac:dyDescent="0.35">
      <c r="A79" s="6">
        <v>8.0971393882509943</v>
      </c>
      <c r="B79" s="28">
        <v>0</v>
      </c>
    </row>
    <row r="80" spans="1:2" x14ac:dyDescent="0.35">
      <c r="A80" s="6">
        <v>7.837657890582773</v>
      </c>
      <c r="B80" s="28">
        <v>0</v>
      </c>
    </row>
    <row r="81" spans="1:2" x14ac:dyDescent="0.35">
      <c r="A81" s="6">
        <v>7.3320024935975603</v>
      </c>
      <c r="B81" s="28">
        <v>0</v>
      </c>
    </row>
    <row r="82" spans="1:2" x14ac:dyDescent="0.35">
      <c r="A82" s="6">
        <v>6.91949440147775</v>
      </c>
      <c r="B82" s="28">
        <v>0</v>
      </c>
    </row>
    <row r="83" spans="1:2" x14ac:dyDescent="0.35">
      <c r="A83" s="6">
        <v>6.6932800474452963</v>
      </c>
      <c r="B83" s="28">
        <v>0</v>
      </c>
    </row>
    <row r="84" spans="1:2" x14ac:dyDescent="0.35">
      <c r="A84" s="6">
        <v>6.2674650107068324</v>
      </c>
      <c r="B84" s="28">
        <v>0</v>
      </c>
    </row>
    <row r="85" spans="1:2" x14ac:dyDescent="0.35">
      <c r="A85" s="6">
        <v>5.6753162169872668</v>
      </c>
      <c r="B85" s="28">
        <v>0</v>
      </c>
    </row>
    <row r="86" spans="1:2" x14ac:dyDescent="0.35">
      <c r="A86" s="6">
        <v>5.169661037912916</v>
      </c>
      <c r="B86" s="28">
        <v>0</v>
      </c>
    </row>
    <row r="87" spans="1:2" x14ac:dyDescent="0.35">
      <c r="A87" s="6">
        <v>4.8103794168025482</v>
      </c>
      <c r="B87" s="28">
        <v>0</v>
      </c>
    </row>
    <row r="88" spans="1:2" x14ac:dyDescent="0.35">
      <c r="A88" s="6">
        <v>4.4045243611703411</v>
      </c>
      <c r="B88" s="28">
        <v>0</v>
      </c>
    </row>
    <row r="89" spans="1:2" x14ac:dyDescent="0.35">
      <c r="A89" s="6">
        <v>3.9188289452913865</v>
      </c>
      <c r="B89" s="28">
        <v>0</v>
      </c>
    </row>
    <row r="90" spans="1:2" x14ac:dyDescent="0.35">
      <c r="A90" s="6">
        <v>3.2601463001220039</v>
      </c>
      <c r="B90" s="28">
        <v>0</v>
      </c>
    </row>
    <row r="91" spans="1:2" x14ac:dyDescent="0.35">
      <c r="A91" s="6">
        <v>2.7145707230134177</v>
      </c>
      <c r="B91" s="28">
        <v>0</v>
      </c>
    </row>
    <row r="92" spans="1:2" x14ac:dyDescent="0.35">
      <c r="A92" s="6">
        <v>2.2554891963717667</v>
      </c>
      <c r="B92" s="28">
        <v>0</v>
      </c>
    </row>
    <row r="93" spans="1:2" x14ac:dyDescent="0.35">
      <c r="A93" s="6">
        <v>1.8030604883068597</v>
      </c>
      <c r="B93" s="28">
        <v>0</v>
      </c>
    </row>
    <row r="94" spans="1:2" x14ac:dyDescent="0.35">
      <c r="A94" s="6">
        <v>1.3181970560940035</v>
      </c>
      <c r="B94" s="28">
        <v>0</v>
      </c>
    </row>
    <row r="95" spans="1:2" x14ac:dyDescent="0.35">
      <c r="A95" s="6">
        <v>0.95642057353964205</v>
      </c>
      <c r="B95" s="28">
        <v>0</v>
      </c>
    </row>
    <row r="96" spans="1:2" x14ac:dyDescent="0.35">
      <c r="A96" s="6">
        <v>0.72022611999862973</v>
      </c>
      <c r="B96" s="28">
        <v>0</v>
      </c>
    </row>
    <row r="97" spans="1:2" x14ac:dyDescent="0.35">
      <c r="A97" s="6">
        <v>0.50731871058482825</v>
      </c>
      <c r="B97" s="28">
        <v>0</v>
      </c>
    </row>
    <row r="98" spans="1:2" x14ac:dyDescent="0.35">
      <c r="A98" s="6">
        <v>-0.14678976770789415</v>
      </c>
      <c r="B98" s="28">
        <v>0</v>
      </c>
    </row>
    <row r="99" spans="1:2" x14ac:dyDescent="0.35">
      <c r="A99" s="6">
        <v>-2.1091152025860618</v>
      </c>
      <c r="B99" s="28">
        <v>0</v>
      </c>
    </row>
    <row r="100" spans="1:2" x14ac:dyDescent="0.35">
      <c r="A100" s="6">
        <v>-3.3399868782796127</v>
      </c>
      <c r="B100" s="28">
        <v>0</v>
      </c>
    </row>
    <row r="101" spans="1:2" x14ac:dyDescent="0.35">
      <c r="A101" s="6">
        <v>-3.2468397913250735</v>
      </c>
      <c r="B101" s="28">
        <v>0</v>
      </c>
    </row>
    <row r="102" spans="1:2" x14ac:dyDescent="0.35">
      <c r="A102" s="6">
        <v>-3.0139721828941544</v>
      </c>
      <c r="B102" s="28">
        <v>0</v>
      </c>
    </row>
    <row r="103" spans="1:2" x14ac:dyDescent="0.35">
      <c r="A103" s="6">
        <v>-3.7924153684336592</v>
      </c>
      <c r="B103" s="28">
        <v>0</v>
      </c>
    </row>
    <row r="104" spans="1:2" x14ac:dyDescent="0.35">
      <c r="A104" s="6">
        <v>-5.0565537519412587</v>
      </c>
      <c r="B104" s="28">
        <v>0</v>
      </c>
    </row>
    <row r="105" spans="1:2" x14ac:dyDescent="0.35">
      <c r="A105" s="6">
        <v>-5.5688626212357963</v>
      </c>
      <c r="B105" s="28">
        <v>0</v>
      </c>
    </row>
    <row r="106" spans="1:2" x14ac:dyDescent="0.35">
      <c r="A106" s="6">
        <v>-5.4823687886797217</v>
      </c>
      <c r="B106" s="28">
        <v>0</v>
      </c>
    </row>
    <row r="107" spans="1:2" x14ac:dyDescent="0.35">
      <c r="A107" s="6">
        <v>-5.7884230671372032</v>
      </c>
      <c r="B107" s="28">
        <v>0</v>
      </c>
    </row>
    <row r="108" spans="1:2" x14ac:dyDescent="0.35">
      <c r="A108" s="6">
        <v>-6.6001331784016166</v>
      </c>
      <c r="B108" s="28">
        <v>0</v>
      </c>
    </row>
    <row r="109" spans="1:2" x14ac:dyDescent="0.35">
      <c r="A109" s="6">
        <v>-7.0991355388992252</v>
      </c>
      <c r="B109" s="28">
        <v>0</v>
      </c>
    </row>
    <row r="110" spans="1:2" x14ac:dyDescent="0.35">
      <c r="A110" s="6">
        <v>-7.0725218675727808</v>
      </c>
      <c r="B110" s="28">
        <v>0</v>
      </c>
    </row>
    <row r="111" spans="1:2" x14ac:dyDescent="0.35">
      <c r="A111" s="6">
        <v>-7.0192951786524755</v>
      </c>
      <c r="B111" s="28">
        <v>0</v>
      </c>
    </row>
    <row r="112" spans="1:2" x14ac:dyDescent="0.35">
      <c r="A112" s="6">
        <v>-7.1723226447475064</v>
      </c>
      <c r="B112" s="28">
        <v>0</v>
      </c>
    </row>
    <row r="113" spans="1:2" x14ac:dyDescent="0.35">
      <c r="A113" s="6">
        <v>-7.0924820665898975</v>
      </c>
      <c r="B113" s="28">
        <v>0</v>
      </c>
    </row>
    <row r="114" spans="1:2" x14ac:dyDescent="0.35">
      <c r="A114" s="6">
        <v>-6.2208915761849921</v>
      </c>
      <c r="B114" s="28">
        <v>0</v>
      </c>
    </row>
    <row r="115" spans="1:2" x14ac:dyDescent="0.35">
      <c r="A115" s="6">
        <v>-5.1430471486756115</v>
      </c>
      <c r="B115" s="28">
        <v>0</v>
      </c>
    </row>
    <row r="116" spans="1:2" x14ac:dyDescent="0.35">
      <c r="A116" s="6">
        <v>-4.2914172931095456</v>
      </c>
      <c r="B116" s="28">
        <v>0</v>
      </c>
    </row>
    <row r="117" spans="1:2" x14ac:dyDescent="0.35">
      <c r="A117" s="6">
        <v>-3.4464404740310837</v>
      </c>
      <c r="B117" s="28">
        <v>0</v>
      </c>
    </row>
    <row r="118" spans="1:2" x14ac:dyDescent="0.35">
      <c r="A118" s="6">
        <v>-2.1290751836923185</v>
      </c>
      <c r="B118" s="28">
        <v>0</v>
      </c>
    </row>
    <row r="119" spans="1:2" x14ac:dyDescent="0.35">
      <c r="A119" s="6">
        <v>-1.0703591894448163</v>
      </c>
      <c r="B119" s="28">
        <v>0</v>
      </c>
    </row>
    <row r="120" spans="1:2" x14ac:dyDescent="0.35">
      <c r="A120" s="6">
        <v>1.7631403081834855</v>
      </c>
      <c r="B120" s="28">
        <v>0</v>
      </c>
    </row>
    <row r="121" spans="1:2" x14ac:dyDescent="0.35">
      <c r="A121" s="6">
        <v>6.5934797060922907</v>
      </c>
      <c r="B121" s="28">
        <v>0</v>
      </c>
    </row>
    <row r="122" spans="1:2" x14ac:dyDescent="0.35">
      <c r="A122" s="6">
        <v>8.243513382036701</v>
      </c>
      <c r="B122" s="28">
        <v>0</v>
      </c>
    </row>
    <row r="123" spans="1:2" x14ac:dyDescent="0.35">
      <c r="A123" s="6">
        <v>6.6799735386483654</v>
      </c>
      <c r="B123" s="28">
        <v>0</v>
      </c>
    </row>
    <row r="124" spans="1:2" x14ac:dyDescent="0.35">
      <c r="A124" s="6">
        <v>5.9680637687369558</v>
      </c>
      <c r="B124" s="28">
        <v>0</v>
      </c>
    </row>
    <row r="125" spans="1:2" x14ac:dyDescent="0.35">
      <c r="A125" s="6">
        <v>7.6047909358844361</v>
      </c>
      <c r="B125" s="28">
        <v>0</v>
      </c>
    </row>
    <row r="126" spans="1:2" x14ac:dyDescent="0.35">
      <c r="A126" s="6">
        <v>8.3832339035130801</v>
      </c>
      <c r="B126" s="28">
        <v>0</v>
      </c>
    </row>
    <row r="127" spans="1:2" x14ac:dyDescent="0.35">
      <c r="A127" s="6">
        <v>6.9527611092917976</v>
      </c>
      <c r="B127" s="28">
        <v>0</v>
      </c>
    </row>
    <row r="128" spans="1:2" x14ac:dyDescent="0.35">
      <c r="A128" s="6">
        <v>5.7684630860309456</v>
      </c>
      <c r="B128" s="28">
        <v>0</v>
      </c>
    </row>
    <row r="129" spans="1:2" x14ac:dyDescent="0.35">
      <c r="A129" s="6">
        <v>6.5735199428968949</v>
      </c>
      <c r="B129" s="28">
        <v>0</v>
      </c>
    </row>
    <row r="130" spans="1:2" x14ac:dyDescent="0.35">
      <c r="A130" s="6">
        <v>7.4584169420987312</v>
      </c>
      <c r="B130" s="28">
        <v>0</v>
      </c>
    </row>
    <row r="131" spans="1:2" x14ac:dyDescent="0.35">
      <c r="A131" s="6">
        <v>6.7598136809842524</v>
      </c>
      <c r="B131" s="28">
        <v>0</v>
      </c>
    </row>
    <row r="132" spans="1:2" x14ac:dyDescent="0.35">
      <c r="A132" s="6">
        <v>5.449101862954814</v>
      </c>
      <c r="B132" s="28">
        <v>0</v>
      </c>
    </row>
    <row r="133" spans="1:2" x14ac:dyDescent="0.35">
      <c r="A133" s="6">
        <v>5.4757153163703967</v>
      </c>
      <c r="B133" s="28">
        <v>0</v>
      </c>
    </row>
    <row r="134" spans="1:2" x14ac:dyDescent="0.35">
      <c r="A134" s="6">
        <v>6.1011312537257307</v>
      </c>
      <c r="B134" s="28">
        <v>0</v>
      </c>
    </row>
    <row r="135" spans="1:2" x14ac:dyDescent="0.35">
      <c r="A135" s="6">
        <v>5.7618098316324806</v>
      </c>
      <c r="B135" s="28">
        <v>0</v>
      </c>
    </row>
    <row r="136" spans="1:2" x14ac:dyDescent="0.35">
      <c r="A136" s="6">
        <v>4.6240854608043298</v>
      </c>
      <c r="B136" s="28">
        <v>0</v>
      </c>
    </row>
    <row r="137" spans="1:2" x14ac:dyDescent="0.35">
      <c r="A137" s="6">
        <v>4.7704592366791738</v>
      </c>
      <c r="B137" s="28">
        <v>0</v>
      </c>
    </row>
    <row r="138" spans="1:2" x14ac:dyDescent="0.35">
      <c r="A138" s="6">
        <v>5.9614107322493508</v>
      </c>
      <c r="B138" s="28">
        <v>0</v>
      </c>
    </row>
    <row r="139" spans="1:2" x14ac:dyDescent="0.35">
      <c r="A139" s="6">
        <v>6.3206921354488586</v>
      </c>
      <c r="B139" s="28">
        <v>0</v>
      </c>
    </row>
    <row r="140" spans="1:2" x14ac:dyDescent="0.35">
      <c r="A140" s="6">
        <v>5.6353960368638925</v>
      </c>
      <c r="B140" s="28">
        <v>0</v>
      </c>
    </row>
    <row r="141" spans="1:2" x14ac:dyDescent="0.35">
      <c r="A141" s="6">
        <v>5.2694611613550597</v>
      </c>
      <c r="B141" s="28">
        <v>0</v>
      </c>
    </row>
    <row r="142" spans="1:2" x14ac:dyDescent="0.35">
      <c r="A142" s="6">
        <v>5.9281440244353032</v>
      </c>
      <c r="B142" s="28">
        <v>0</v>
      </c>
    </row>
    <row r="143" spans="1:2" x14ac:dyDescent="0.35">
      <c r="A143" s="6">
        <v>6.081171054708614</v>
      </c>
      <c r="B143" s="28">
        <v>0</v>
      </c>
    </row>
    <row r="144" spans="1:2" x14ac:dyDescent="0.35">
      <c r="A144" s="6">
        <v>5.1297406398786816</v>
      </c>
      <c r="B144" s="28">
        <v>0</v>
      </c>
    </row>
    <row r="145" spans="1:2" x14ac:dyDescent="0.35">
      <c r="A145" s="6">
        <v>4.3313374732329191</v>
      </c>
      <c r="B145" s="28">
        <v>0</v>
      </c>
    </row>
    <row r="146" spans="1:2" x14ac:dyDescent="0.35">
      <c r="A146" s="6">
        <v>4.4444445412937164</v>
      </c>
      <c r="B146" s="28">
        <v>0</v>
      </c>
    </row>
  </sheetData>
  <mergeCells count="3">
    <mergeCell ref="A3:B3"/>
    <mergeCell ref="D3:E3"/>
    <mergeCell ref="G3:I3"/>
  </mergeCells>
  <conditionalFormatting sqref="H10">
    <cfRule type="cellIs" dxfId="2" priority="2" operator="equal">
      <formula>1</formula>
    </cfRule>
  </conditionalFormatting>
  <conditionalFormatting sqref="H8">
    <cfRule type="cellIs" dxfId="1" priority="1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ón1_Send_Data">
                <anchor moveWithCells="1" sizeWithCells="1">
                  <from>
                    <xdr:col>3</xdr:col>
                    <xdr:colOff>0</xdr:colOff>
                    <xdr:row>10</xdr:row>
                    <xdr:rowOff>63500</xdr:rowOff>
                  </from>
                  <to>
                    <xdr:col>5</xdr:col>
                    <xdr:colOff>6350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im_ON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323850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im_OFF">
                <anchor moveWithCells="1" sizeWithCells="1">
                  <from>
                    <xdr:col>7</xdr:col>
                    <xdr:colOff>419100</xdr:colOff>
                    <xdr:row>3</xdr:row>
                    <xdr:rowOff>165100</xdr:rowOff>
                  </from>
                  <to>
                    <xdr:col>8</xdr:col>
                    <xdr:colOff>749300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B3:N16"/>
  <sheetViews>
    <sheetView workbookViewId="0">
      <selection activeCell="N9" sqref="N9"/>
    </sheetView>
  </sheetViews>
  <sheetFormatPr baseColWidth="10" defaultRowHeight="14.5" x14ac:dyDescent="0.35"/>
  <cols>
    <col min="2" max="2" width="6" customWidth="1"/>
    <col min="7" max="7" width="5.26953125" customWidth="1"/>
    <col min="8" max="8" width="4.6328125" customWidth="1"/>
    <col min="9" max="9" width="3.90625" customWidth="1"/>
    <col min="10" max="10" width="22.36328125" customWidth="1"/>
    <col min="12" max="12" width="5.26953125" customWidth="1"/>
  </cols>
  <sheetData>
    <row r="3" spans="2:14" ht="15" thickBot="1" x14ac:dyDescent="0.4"/>
    <row r="4" spans="2:14" ht="15.5" x14ac:dyDescent="0.35">
      <c r="B4" s="33" t="s">
        <v>10</v>
      </c>
      <c r="C4" s="34"/>
      <c r="D4" s="34"/>
      <c r="E4" s="34"/>
      <c r="F4" s="34"/>
      <c r="G4" s="35"/>
      <c r="I4" s="33" t="s">
        <v>14</v>
      </c>
      <c r="J4" s="34"/>
      <c r="K4" s="34"/>
      <c r="L4" s="35"/>
      <c r="M4" s="22"/>
      <c r="N4" s="23"/>
    </row>
    <row r="5" spans="2:14" ht="15" thickBot="1" x14ac:dyDescent="0.4">
      <c r="B5" s="19"/>
      <c r="C5" s="20"/>
      <c r="D5" s="20"/>
      <c r="E5" s="20"/>
      <c r="F5" s="20"/>
      <c r="G5" s="21"/>
      <c r="I5" s="19"/>
      <c r="J5" s="20"/>
      <c r="K5" s="20"/>
      <c r="L5" s="21"/>
    </row>
    <row r="6" spans="2:14" ht="15" customHeight="1" thickBot="1" x14ac:dyDescent="0.4">
      <c r="B6" s="19"/>
      <c r="C6" s="36" t="s">
        <v>11</v>
      </c>
      <c r="D6" s="37"/>
      <c r="E6" s="14"/>
      <c r="F6" s="15"/>
      <c r="G6" s="21"/>
      <c r="I6" s="19"/>
      <c r="J6" s="20" t="s">
        <v>18</v>
      </c>
      <c r="K6" s="20" t="e">
        <f>[1]!'DC_RPMReference,L1,C1'</f>
        <v>#N/A</v>
      </c>
      <c r="L6" s="21"/>
    </row>
    <row r="7" spans="2:14" ht="15" customHeight="1" thickBot="1" x14ac:dyDescent="0.4">
      <c r="B7" s="19"/>
      <c r="C7" s="16"/>
      <c r="D7" s="17"/>
      <c r="E7" s="17"/>
      <c r="F7" s="18"/>
      <c r="G7" s="21"/>
      <c r="I7" s="19"/>
      <c r="J7" s="20" t="s">
        <v>15</v>
      </c>
      <c r="K7" s="20" t="e">
        <f>[1]!'DC_LoadSent,L1,C1'</f>
        <v>#N/A</v>
      </c>
      <c r="L7" s="21"/>
    </row>
    <row r="8" spans="2:14" ht="15" thickBot="1" x14ac:dyDescent="0.4">
      <c r="B8" s="19"/>
      <c r="C8" s="20"/>
      <c r="D8" s="20"/>
      <c r="E8" s="20"/>
      <c r="F8" s="20"/>
      <c r="G8" s="21"/>
      <c r="I8" s="19"/>
      <c r="J8" s="20" t="s">
        <v>17</v>
      </c>
      <c r="K8" s="20" t="e">
        <f>[1]!'DC_OutputPower,L1,C1'</f>
        <v>#N/A</v>
      </c>
      <c r="L8" s="21"/>
    </row>
    <row r="9" spans="2:14" ht="15" thickBot="1" x14ac:dyDescent="0.4">
      <c r="B9" s="19"/>
      <c r="C9" s="38" t="s">
        <v>12</v>
      </c>
      <c r="D9" s="39"/>
      <c r="E9" s="9"/>
      <c r="F9" s="10"/>
      <c r="G9" s="21"/>
      <c r="I9" s="19"/>
      <c r="J9" s="20" t="s">
        <v>16</v>
      </c>
      <c r="K9" s="20" t="e">
        <f>[1]!'DC_OutputVoltage,L1,C1'</f>
        <v>#N/A</v>
      </c>
      <c r="L9" s="21"/>
    </row>
    <row r="10" spans="2:14" ht="15" thickBot="1" x14ac:dyDescent="0.4">
      <c r="B10" s="19"/>
      <c r="C10" s="11"/>
      <c r="D10" s="12"/>
      <c r="E10" s="12"/>
      <c r="F10" s="13"/>
      <c r="G10" s="21"/>
      <c r="I10" s="19"/>
      <c r="J10" s="20"/>
      <c r="K10" s="20"/>
      <c r="L10" s="21"/>
    </row>
    <row r="11" spans="2:14" x14ac:dyDescent="0.35">
      <c r="B11" s="19"/>
      <c r="C11" s="20"/>
      <c r="D11" s="20"/>
      <c r="E11" s="20"/>
      <c r="F11" s="20"/>
      <c r="G11" s="21"/>
      <c r="I11" s="19"/>
      <c r="J11" s="20"/>
      <c r="K11" s="20"/>
      <c r="L11" s="21"/>
    </row>
    <row r="12" spans="2:14" ht="25.5" customHeight="1" x14ac:dyDescent="0.35">
      <c r="B12" s="19"/>
      <c r="C12" s="40" t="s">
        <v>21</v>
      </c>
      <c r="D12" s="40"/>
      <c r="E12" s="40" t="e">
        <f>[1]!'VSD_DC:I.DriveStatus_Active,L1,C1'</f>
        <v>#N/A</v>
      </c>
      <c r="F12" s="40"/>
      <c r="G12" s="21"/>
      <c r="I12" s="19"/>
      <c r="J12" s="20"/>
      <c r="K12" s="20"/>
      <c r="L12" s="21"/>
    </row>
    <row r="13" spans="2:14" x14ac:dyDescent="0.35">
      <c r="B13" s="19"/>
      <c r="C13" s="20"/>
      <c r="D13" s="20"/>
      <c r="E13" s="20"/>
      <c r="F13" s="20"/>
      <c r="G13" s="21"/>
      <c r="I13" s="19"/>
      <c r="J13" s="20"/>
      <c r="K13" s="20"/>
      <c r="L13" s="21"/>
    </row>
    <row r="14" spans="2:14" x14ac:dyDescent="0.35">
      <c r="B14" s="19"/>
      <c r="C14" s="40" t="s">
        <v>13</v>
      </c>
      <c r="D14" s="40"/>
      <c r="E14" s="42" t="e">
        <f>[1]!'DC_RPMFeedback,L1,C1'</f>
        <v>#N/A</v>
      </c>
      <c r="F14" s="42"/>
      <c r="G14" s="21"/>
      <c r="I14" s="19"/>
      <c r="J14" s="20"/>
      <c r="K14" s="20"/>
      <c r="L14" s="21"/>
    </row>
    <row r="15" spans="2:14" ht="15" thickBot="1" x14ac:dyDescent="0.4">
      <c r="B15" s="7"/>
      <c r="C15" s="41"/>
      <c r="D15" s="41"/>
      <c r="E15" s="43"/>
      <c r="F15" s="43"/>
      <c r="G15" s="8"/>
      <c r="I15" s="19"/>
      <c r="J15" s="20"/>
      <c r="K15" s="20"/>
      <c r="L15" s="21"/>
    </row>
    <row r="16" spans="2:14" ht="16" thickBot="1" x14ac:dyDescent="0.4">
      <c r="B16" s="33"/>
      <c r="C16" s="34"/>
      <c r="D16" s="34"/>
      <c r="E16" s="34"/>
      <c r="F16" s="34"/>
      <c r="G16" s="35"/>
      <c r="I16" s="24"/>
      <c r="J16" s="25"/>
      <c r="K16" s="25"/>
      <c r="L16" s="26"/>
    </row>
  </sheetData>
  <mergeCells count="9">
    <mergeCell ref="B16:G16"/>
    <mergeCell ref="I4:L4"/>
    <mergeCell ref="B4:G4"/>
    <mergeCell ref="C6:D6"/>
    <mergeCell ref="C9:D9"/>
    <mergeCell ref="C14:D15"/>
    <mergeCell ref="E14:F15"/>
    <mergeCell ref="E12:F12"/>
    <mergeCell ref="C12:D12"/>
  </mergeCells>
  <conditionalFormatting sqref="E12:F12">
    <cfRule type="cellIs" dxfId="0" priority="2" operator="equal">
      <formula>1</formula>
    </cfRule>
    <cfRule type="colorScale" priority="1">
      <colorScale>
        <cfvo type="num" val="0"/>
        <cfvo type="num" val="1"/>
        <color rgb="FFC00000"/>
        <color theme="9" tint="0.39997558519241921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tn2_DC_ON">
                <anchor moveWithCells="1" sizeWithCells="1">
                  <from>
                    <xdr:col>4</xdr:col>
                    <xdr:colOff>38100</xdr:colOff>
                    <xdr:row>5</xdr:row>
                    <xdr:rowOff>19050</xdr:rowOff>
                  </from>
                  <to>
                    <xdr:col>5</xdr:col>
                    <xdr:colOff>736600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tn3_DC_OFF">
                <anchor moveWithCells="1" sizeWithCells="1">
                  <from>
                    <xdr:col>4</xdr:col>
                    <xdr:colOff>25400</xdr:colOff>
                    <xdr:row>8</xdr:row>
                    <xdr:rowOff>31750</xdr:rowOff>
                  </from>
                  <to>
                    <xdr:col>5</xdr:col>
                    <xdr:colOff>749300</xdr:colOff>
                    <xdr:row>9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Dyn_1</vt:lpstr>
      <vt:lpstr>ControlDC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Morales</dc:creator>
  <cp:lastModifiedBy>Luis Morales</cp:lastModifiedBy>
  <dcterms:created xsi:type="dcterms:W3CDTF">2022-02-11T21:22:56Z</dcterms:created>
  <dcterms:modified xsi:type="dcterms:W3CDTF">2022-08-19T18:53:40Z</dcterms:modified>
</cp:coreProperties>
</file>